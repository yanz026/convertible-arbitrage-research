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fang/finm/QTS_project/data/cleaned_full_sample/"/>
    </mc:Choice>
  </mc:AlternateContent>
  <xr:revisionPtr revIDLastSave="0" documentId="13_ncr:1_{44FF7AB9-CD25-014E-9E74-52DC1C236342}" xr6:coauthVersionLast="47" xr6:coauthVersionMax="47" xr10:uidLastSave="{00000000-0000-0000-0000-000000000000}"/>
  <bookViews>
    <workbookView xWindow="80" yWindow="760" windowWidth="30160" windowHeight="17360" xr2:uid="{477CAE0C-8BA2-4019-ADF0-95C761521325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2" l="1"/>
  <c r="J74" i="2" s="1"/>
  <c r="H73" i="2"/>
  <c r="J73" i="2" s="1"/>
  <c r="J72" i="2"/>
  <c r="H72" i="2"/>
  <c r="H71" i="2"/>
  <c r="J71" i="2" s="1"/>
  <c r="H70" i="2"/>
  <c r="J70" i="2" s="1"/>
  <c r="H69" i="2"/>
  <c r="J69" i="2" s="1"/>
  <c r="J68" i="2"/>
  <c r="H68" i="2"/>
  <c r="H67" i="2"/>
  <c r="J67" i="2" s="1"/>
  <c r="H66" i="2"/>
  <c r="J66" i="2" s="1"/>
  <c r="H65" i="2"/>
  <c r="J65" i="2" s="1"/>
  <c r="J64" i="2"/>
  <c r="H64" i="2"/>
  <c r="H63" i="2"/>
  <c r="J63" i="2" s="1"/>
  <c r="H62" i="2"/>
  <c r="J62" i="2" s="1"/>
  <c r="H61" i="2"/>
  <c r="J61" i="2" s="1"/>
  <c r="J60" i="2"/>
  <c r="H60" i="2"/>
  <c r="H59" i="2"/>
  <c r="J59" i="2" s="1"/>
  <c r="H58" i="2"/>
  <c r="J58" i="2" s="1"/>
  <c r="H57" i="2"/>
  <c r="J57" i="2" s="1"/>
  <c r="J56" i="2"/>
  <c r="H56" i="2"/>
  <c r="H55" i="2"/>
  <c r="J55" i="2" s="1"/>
  <c r="H54" i="2"/>
  <c r="J54" i="2" s="1"/>
  <c r="H53" i="2"/>
  <c r="J53" i="2" s="1"/>
  <c r="J52" i="2"/>
  <c r="H52" i="2"/>
  <c r="H51" i="2"/>
  <c r="J51" i="2" s="1"/>
  <c r="H50" i="2"/>
  <c r="J50" i="2" s="1"/>
  <c r="H49" i="2"/>
  <c r="J49" i="2" s="1"/>
  <c r="J48" i="2"/>
  <c r="H48" i="2"/>
  <c r="H47" i="2"/>
  <c r="J47" i="2" s="1"/>
  <c r="H46" i="2"/>
  <c r="J46" i="2" s="1"/>
  <c r="H45" i="2"/>
  <c r="J45" i="2" s="1"/>
  <c r="J44" i="2"/>
  <c r="H44" i="2"/>
  <c r="H43" i="2"/>
  <c r="J43" i="2" s="1"/>
  <c r="H42" i="2"/>
  <c r="J42" i="2" s="1"/>
  <c r="H41" i="2"/>
  <c r="J41" i="2" s="1"/>
  <c r="J40" i="2"/>
  <c r="H40" i="2"/>
  <c r="H39" i="2"/>
  <c r="J39" i="2" s="1"/>
  <c r="H38" i="2"/>
  <c r="J38" i="2" s="1"/>
  <c r="H37" i="2"/>
  <c r="J37" i="2" s="1"/>
  <c r="J36" i="2"/>
  <c r="H36" i="2"/>
  <c r="H35" i="2"/>
  <c r="J35" i="2" s="1"/>
  <c r="H34" i="2"/>
  <c r="J34" i="2" s="1"/>
  <c r="H33" i="2"/>
  <c r="J33" i="2" s="1"/>
  <c r="J32" i="2"/>
  <c r="H32" i="2"/>
  <c r="H31" i="2"/>
  <c r="J31" i="2" s="1"/>
  <c r="H30" i="2"/>
  <c r="J30" i="2" s="1"/>
  <c r="H29" i="2"/>
  <c r="J29" i="2" s="1"/>
  <c r="J28" i="2"/>
  <c r="H28" i="2"/>
  <c r="H27" i="2"/>
  <c r="J27" i="2" s="1"/>
  <c r="H26" i="2"/>
  <c r="J26" i="2" s="1"/>
  <c r="H25" i="2"/>
  <c r="J25" i="2" s="1"/>
  <c r="J24" i="2"/>
  <c r="H24" i="2"/>
  <c r="H23" i="2"/>
  <c r="J23" i="2" s="1"/>
  <c r="H22" i="2"/>
  <c r="J22" i="2" s="1"/>
  <c r="H21" i="2"/>
  <c r="J21" i="2" s="1"/>
  <c r="J20" i="2"/>
  <c r="H20" i="2"/>
  <c r="H19" i="2"/>
  <c r="J19" i="2" s="1"/>
  <c r="H18" i="2"/>
  <c r="J18" i="2" s="1"/>
  <c r="H17" i="2"/>
  <c r="J17" i="2" s="1"/>
  <c r="J16" i="2"/>
  <c r="H16" i="2"/>
  <c r="H15" i="2"/>
  <c r="J15" i="2" s="1"/>
  <c r="H14" i="2"/>
  <c r="J14" i="2" s="1"/>
  <c r="H13" i="2"/>
  <c r="J13" i="2" s="1"/>
  <c r="J12" i="2"/>
  <c r="H12" i="2"/>
  <c r="H11" i="2"/>
  <c r="J11" i="2" s="1"/>
  <c r="H10" i="2"/>
  <c r="J10" i="2" s="1"/>
  <c r="H9" i="2"/>
  <c r="J9" i="2" s="1"/>
  <c r="J8" i="2"/>
  <c r="H8" i="2"/>
  <c r="H7" i="2"/>
  <c r="J7" i="2" s="1"/>
  <c r="H6" i="2"/>
  <c r="J6" i="2" s="1"/>
  <c r="H5" i="2"/>
  <c r="J5" i="2" s="1"/>
  <c r="J4" i="2"/>
  <c r="H4" i="2"/>
  <c r="H3" i="2"/>
  <c r="J3" i="2" s="1"/>
  <c r="H2" i="2"/>
  <c r="J2" i="2" s="1"/>
</calcChain>
</file>

<file path=xl/sharedStrings.xml><?xml version="1.0" encoding="utf-8"?>
<sst xmlns="http://schemas.openxmlformats.org/spreadsheetml/2006/main" count="223" uniqueCount="221">
  <si>
    <t>Z 2 12/01/21</t>
  </si>
  <si>
    <t>AABA 0 12/01/18</t>
  </si>
  <si>
    <t>CZR 5 10/01/24</t>
  </si>
  <si>
    <t>AKAM 0 02/15/19</t>
  </si>
  <si>
    <t>TLRY 5 10/01/23</t>
  </si>
  <si>
    <t>TSLA 2 05/15/24</t>
  </si>
  <si>
    <t>IONS 1 11/15/21</t>
  </si>
  <si>
    <t>QGEN 0 12/17/27</t>
  </si>
  <si>
    <t>DISH 0 12/15/25</t>
  </si>
  <si>
    <t>UBER 0 12/15/25</t>
  </si>
  <si>
    <t>IQ 4 12/15/26</t>
  </si>
  <si>
    <t>GH 0 11/15/27</t>
  </si>
  <si>
    <t>ZNGA 0 12/15/26</t>
  </si>
  <si>
    <t>IQ 2 04/01/25</t>
  </si>
  <si>
    <t>MTN 0 01/01/26</t>
  </si>
  <si>
    <t>PTON 0 02/15/26</t>
  </si>
  <si>
    <t>CFLT 0 01/15/27</t>
  </si>
  <si>
    <t>PDD 0 12/01/25</t>
  </si>
  <si>
    <t>CAMT 0 12/01/26</t>
  </si>
  <si>
    <t>CTEV 6 10/15/27</t>
  </si>
  <si>
    <t>AFRM 0 11/15/26</t>
  </si>
  <si>
    <t>BYND 0 03/15/27</t>
  </si>
  <si>
    <t>BILL 0 12/01/25</t>
  </si>
  <si>
    <t>ARRY 1 12/01/28</t>
  </si>
  <si>
    <t>MARA 1 12/01/26</t>
  </si>
  <si>
    <t>MMSI 3 02/01/29</t>
  </si>
  <si>
    <t>SPOT 0 03/15/26</t>
  </si>
  <si>
    <t>Conversion Price</t>
  </si>
  <si>
    <t xml:space="preserve"> Conversion Ratio</t>
  </si>
  <si>
    <t>TER 1.25 12/15/2023</t>
  </si>
  <si>
    <t>DISH 3.375 08/15/26</t>
  </si>
  <si>
    <t>AJRD 2.25 12/15/23</t>
  </si>
  <si>
    <t>INTC 3.25 08/01/39</t>
  </si>
  <si>
    <t>TSLA 2.375 03/15/22</t>
  </si>
  <si>
    <t>VIPS 1.5 03/15/19</t>
  </si>
  <si>
    <t>CLF 1.5 01/15/25</t>
  </si>
  <si>
    <t>IQ 3.75 12/01/23</t>
  </si>
  <si>
    <t>DXCM 0.75 12/01/23</t>
  </si>
  <si>
    <t>WDAY 0.25 10/01/22</t>
  </si>
  <si>
    <t>DXCM 0.75 05/15/22</t>
  </si>
  <si>
    <t>RIG 0.5 01/30/23</t>
  </si>
  <si>
    <t>W 1.125 11/01/24</t>
  </si>
  <si>
    <t>LITE 0.25 03/15/24</t>
  </si>
  <si>
    <t>TSLA 1.25 03/01/21</t>
  </si>
  <si>
    <t>IONS 0.125 12/15/24</t>
  </si>
  <si>
    <t>NIO 4.5 02/01/24</t>
  </si>
  <si>
    <t>EVBG 1.5 11/01/22</t>
  </si>
  <si>
    <t>PEB 1.75 12/15/26</t>
  </si>
  <si>
    <t>LITE 0.5 12/15/26</t>
  </si>
  <si>
    <t>GLNG 2.75 02/15/22</t>
  </si>
  <si>
    <t>YY 0.75 06/15/25</t>
  </si>
  <si>
    <t>LUV 1.25 05/01/25</t>
  </si>
  <si>
    <t>BXMT 4.375 05/05/22</t>
  </si>
  <si>
    <t>AAL 6.5 07/01/25</t>
  </si>
  <si>
    <t>WDC 1.5 02/01/24</t>
  </si>
  <si>
    <t>BBIO 2.25 02/01/29</t>
  </si>
  <si>
    <t>COIN 0.5 06/01/26</t>
  </si>
  <si>
    <t>BILI 0.5 12/01/26</t>
  </si>
  <si>
    <t>NCLH 1.125 02/15/27</t>
  </si>
  <si>
    <t>ZTO 1.5 09/01/27</t>
  </si>
  <si>
    <t>MSTR 0.75 12/15/25</t>
  </si>
  <si>
    <t>OPEN 0.25 08/15/26</t>
  </si>
  <si>
    <t>UBER 0.875 12/01/28</t>
  </si>
  <si>
    <t>LNTH 2.625 12/15/27</t>
  </si>
  <si>
    <t>PCG 4.25 12/01/27</t>
  </si>
  <si>
    <t>WOLF 1.875 12/01/29</t>
  </si>
  <si>
    <t>JBLU 0.5 04/01/26</t>
  </si>
  <si>
    <t>VAC 3.25 12/15/27</t>
  </si>
  <si>
    <t>AXON 0.5 12/15/27</t>
  </si>
  <si>
    <t>CYTK 3.5 07/01/27</t>
  </si>
  <si>
    <t>LCID 1.25 12/15/26</t>
  </si>
  <si>
    <t>CCL 5.75 12/01/27</t>
  </si>
  <si>
    <t>EVH 3.5 12/01/29</t>
  </si>
  <si>
    <t>SPHR 3.5 12/01/28</t>
  </si>
  <si>
    <t>TREE 0.5 07/15/25</t>
  </si>
  <si>
    <t>TER 1.25 12</t>
  </si>
  <si>
    <t>DISH 3.375 08</t>
  </si>
  <si>
    <t>AJRD 2.25 12</t>
  </si>
  <si>
    <t>Z 2 12</t>
  </si>
  <si>
    <t>INTC 3.25 08</t>
  </si>
  <si>
    <t>TSLA 2.375 03</t>
  </si>
  <si>
    <t>AABA 0 12</t>
  </si>
  <si>
    <t>VIPS 1.5 03</t>
  </si>
  <si>
    <t>AKAM 0 02</t>
  </si>
  <si>
    <t>CLF 1.5 01</t>
  </si>
  <si>
    <t>IQ 3.75 12</t>
  </si>
  <si>
    <t>DXCM 0.75 12</t>
  </si>
  <si>
    <t>WDAY 0.25 10</t>
  </si>
  <si>
    <t>DXCM 0.75 05</t>
  </si>
  <si>
    <t>RIG 0.5 01</t>
  </si>
  <si>
    <t>CZR 5 10</t>
  </si>
  <si>
    <t>W 1.125 11</t>
  </si>
  <si>
    <t>LITE 0.25 03</t>
  </si>
  <si>
    <t>TSLA 1.25 03</t>
  </si>
  <si>
    <t>IONS 1 11</t>
  </si>
  <si>
    <t>IONS 0.125 12</t>
  </si>
  <si>
    <t>NIO 4.5 02</t>
  </si>
  <si>
    <t>EVBG 1.5 11</t>
  </si>
  <si>
    <t>QGEN 0 12</t>
  </si>
  <si>
    <t>DISH 0 12</t>
  </si>
  <si>
    <t>PEB 1.75 12</t>
  </si>
  <si>
    <t>GH 0 11</t>
  </si>
  <si>
    <t>ZNGA 0 12</t>
  </si>
  <si>
    <t>LITE 0.5 12</t>
  </si>
  <si>
    <t>GLNG 2.75 02</t>
  </si>
  <si>
    <t>TLRY 5 10</t>
  </si>
  <si>
    <t>TSLA 2 05</t>
  </si>
  <si>
    <t>YY 0.75 06</t>
  </si>
  <si>
    <t>LUV 1.25 05</t>
  </si>
  <si>
    <t>MTN 0 01</t>
  </si>
  <si>
    <t>BXMT 4.375 05</t>
  </si>
  <si>
    <t>AAL 6.5 07</t>
  </si>
  <si>
    <t>WDC 1.5 02</t>
  </si>
  <si>
    <t>CFLT 0 01</t>
  </si>
  <si>
    <t>PDD 0 12</t>
  </si>
  <si>
    <t>CAMT 0 12</t>
  </si>
  <si>
    <t>CTEV 6 10</t>
  </si>
  <si>
    <t>BYND 0 03</t>
  </si>
  <si>
    <t>BILL 0 12</t>
  </si>
  <si>
    <t>BBIO 2.25 02</t>
  </si>
  <si>
    <t>COIN 0.5 06</t>
  </si>
  <si>
    <t>BILI 0.5 12</t>
  </si>
  <si>
    <t>IQ 4 12</t>
  </si>
  <si>
    <t>NCLH 1.125 02</t>
  </si>
  <si>
    <t>IQ 2 04</t>
  </si>
  <si>
    <t>PTON 0 02</t>
  </si>
  <si>
    <t>ARRY 1 12</t>
  </si>
  <si>
    <t>ZTO 1.5 09</t>
  </si>
  <si>
    <t>MSTR 0.75 12</t>
  </si>
  <si>
    <t>MARA 1 12</t>
  </si>
  <si>
    <t>AFRM 0 11</t>
  </si>
  <si>
    <t>OPEN 0.25 08</t>
  </si>
  <si>
    <t>UBER 0.875 12</t>
  </si>
  <si>
    <t>LNTH 2.625 12</t>
  </si>
  <si>
    <t>PCG 4.25 12</t>
  </si>
  <si>
    <t>WOLF 1.875 12</t>
  </si>
  <si>
    <t>MMSI 3 02</t>
  </si>
  <si>
    <t>UBER 0 12</t>
  </si>
  <si>
    <t>JBLU 0.5 04</t>
  </si>
  <si>
    <t>VAC 3.25 12</t>
  </si>
  <si>
    <t>AXON 0.5 12</t>
  </si>
  <si>
    <t>CYTK 3.5 07</t>
  </si>
  <si>
    <t>LCID 1.25 12</t>
  </si>
  <si>
    <t>CCL 5.75 12</t>
  </si>
  <si>
    <t>EVH 3.5 12</t>
  </si>
  <si>
    <t>SPHR 3.5 12</t>
  </si>
  <si>
    <t>SPOT 0 03</t>
  </si>
  <si>
    <t>TREE 0.5 07</t>
  </si>
  <si>
    <t>DISH 3.375 08/15/2026</t>
  </si>
  <si>
    <t>AJRD 2.25 12/15/2023</t>
  </si>
  <si>
    <t>TSLA 2.375 03/15/2022</t>
  </si>
  <si>
    <t>VIPS 1.5 03/15/2019</t>
  </si>
  <si>
    <t>AKAM 0 02/15/2019</t>
  </si>
  <si>
    <t>CLF 1.5 01/15/2025</t>
  </si>
  <si>
    <t>DXCM 0.75 05/15/2022</t>
  </si>
  <si>
    <t>RIG 0.5 01/30/2023</t>
  </si>
  <si>
    <t>LITE 0.25 03/15/2024</t>
  </si>
  <si>
    <t>IONS 1 11/15/2021</t>
  </si>
  <si>
    <t>IONS 0.125 12/15/2024</t>
  </si>
  <si>
    <t>QGEN 0 12/17/2027</t>
  </si>
  <si>
    <t>DISH 0 12/15/2025</t>
  </si>
  <si>
    <t>PEB 1.75 12/15/2026</t>
  </si>
  <si>
    <t>GH 0 11/15/2027</t>
  </si>
  <si>
    <t>ZNGA 0 12/15/2026</t>
  </si>
  <si>
    <t>LITE 0.5 12/15/2026</t>
  </si>
  <si>
    <t>GLNG 2.75 02/15/2022</t>
  </si>
  <si>
    <t>TSLA 2 05/15/2024</t>
  </si>
  <si>
    <t>YY 0.75 06/15/2025</t>
  </si>
  <si>
    <t>CFLT 0 01/15/2027</t>
  </si>
  <si>
    <t>CTEV 6 10/15/2027</t>
  </si>
  <si>
    <t>BYND 0 03/15/2027</t>
  </si>
  <si>
    <t>IQ 4 12/15/2026</t>
  </si>
  <si>
    <t>NCLH 1.125 02/15/2027</t>
  </si>
  <si>
    <t>PTON 0 02/15/2026</t>
  </si>
  <si>
    <t>MSTR 0.75 12/15/2025</t>
  </si>
  <si>
    <t>AFRM 0 11/15/2026</t>
  </si>
  <si>
    <t>OPEN 0.25 08/15/2026</t>
  </si>
  <si>
    <t>LNTH 2.625 12/15/2027</t>
  </si>
  <si>
    <t>UBER 0 12/15/2025</t>
  </si>
  <si>
    <t>VAC 3.25 12/15/2027</t>
  </si>
  <si>
    <t>AXON 0.5 12/15/2027</t>
  </si>
  <si>
    <t>LCID 1.25 12/15/2026</t>
  </si>
  <si>
    <t>SPOT 0 03/15/2026</t>
  </si>
  <si>
    <t>TREE 0.5 07/15/2025</t>
  </si>
  <si>
    <t>Z 2 12/01/2021</t>
  </si>
  <si>
    <t>INTC 3.25 08/01/2039</t>
  </si>
  <si>
    <t>AABA 0 12/01/2018</t>
  </si>
  <si>
    <t>IQ 3.75 12/01/2023</t>
  </si>
  <si>
    <t>DXCM 0.75 12/01/2023</t>
  </si>
  <si>
    <t>WDAY 0.25 10/01/2022</t>
  </si>
  <si>
    <t>CZR 5 10/01/2024</t>
  </si>
  <si>
    <t>W 1.125 11/01/2024</t>
  </si>
  <si>
    <t>TSLA 1.25 03/01/2021</t>
  </si>
  <si>
    <t>NIO 4.5 02/01/2024</t>
  </si>
  <si>
    <t>EVBG 1.5 11/01/2022</t>
  </si>
  <si>
    <t>TLRY 5 10/01/2023</t>
  </si>
  <si>
    <t>LUV 1.25 05/01/2025</t>
  </si>
  <si>
    <t>MTN 0 01/01/2026</t>
  </si>
  <si>
    <t>BXMT 4.375 05/05/2022</t>
  </si>
  <si>
    <t>AAL 6.5 07/01/2025</t>
  </si>
  <si>
    <t>WDC 1.5 02/01/2024</t>
  </si>
  <si>
    <t>PDD 0 12/01/2025</t>
  </si>
  <si>
    <t>CAMT 0 12/01/2026</t>
  </si>
  <si>
    <t>BILL 0 12/01/2025</t>
  </si>
  <si>
    <t>BBIO 2.25 02/01/2029</t>
  </si>
  <si>
    <t>COIN 0.5 06/01/2026</t>
  </si>
  <si>
    <t>BILI 0.5 12/01/2026</t>
  </si>
  <si>
    <t>IQ 2 04/01/2025</t>
  </si>
  <si>
    <t>ARRY 1 12/01/2028</t>
  </si>
  <si>
    <t>ZTO 1.5 09/01/2027</t>
  </si>
  <si>
    <t>MARA 1 12/01/2026</t>
  </si>
  <si>
    <t>UBER 0.875 12/01/2028</t>
  </si>
  <si>
    <t>PCG 4.25 12/01/2027</t>
  </si>
  <si>
    <t>WOLF 1.875 12/01/2029</t>
  </si>
  <si>
    <t>MMSI 3 02/01/2029</t>
  </si>
  <si>
    <t>JBLU 0.5 04/01/2026</t>
  </si>
  <si>
    <t>CYTK 3.5 07/01/2027</t>
  </si>
  <si>
    <t>CCL 5.75 12/01/2027</t>
  </si>
  <si>
    <t>EVH 3.5 12/01/2029</t>
  </si>
  <si>
    <t>SPHR 3.5 12/01/2028</t>
  </si>
  <si>
    <t>Conversion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</si>
</sst>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3BB7-5685-418F-B377-4E0A842FB1B0}">
  <dimension ref="A1:H74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7.5" customWidth="1"/>
    <col min="5" max="5" width="17.5" bestFit="1" customWidth="1"/>
  </cols>
  <sheetData>
    <row r="1" spans="1:8" x14ac:dyDescent="0.2">
      <c r="B1" t="s">
        <v>27</v>
      </c>
      <c r="C1" t="s">
        <v>220</v>
      </c>
    </row>
    <row r="2" spans="1:8" x14ac:dyDescent="0.2">
      <c r="A2" t="s">
        <v>29</v>
      </c>
      <c r="B2">
        <v>31.426183038660486</v>
      </c>
      <c r="C2">
        <v>31.820600000000002</v>
      </c>
      <c r="H2" s="1"/>
    </row>
    <row r="3" spans="1:8" x14ac:dyDescent="0.2">
      <c r="A3" t="s">
        <v>148</v>
      </c>
      <c r="B3">
        <v>185.75276307235066</v>
      </c>
      <c r="C3">
        <v>5.3835000000000015</v>
      </c>
      <c r="H3" s="1"/>
    </row>
    <row r="4" spans="1:8" x14ac:dyDescent="0.2">
      <c r="A4" t="s">
        <v>149</v>
      </c>
      <c r="B4">
        <v>26.000026000026001</v>
      </c>
      <c r="C4">
        <v>38.461500000000001</v>
      </c>
      <c r="H4" s="1"/>
    </row>
    <row r="5" spans="1:8" x14ac:dyDescent="0.2">
      <c r="A5" t="s">
        <v>184</v>
      </c>
      <c r="B5">
        <v>52.360132994737803</v>
      </c>
      <c r="C5">
        <v>19.098500000000001</v>
      </c>
      <c r="H5" s="1"/>
    </row>
    <row r="6" spans="1:8" x14ac:dyDescent="0.2">
      <c r="A6" t="s">
        <v>185</v>
      </c>
      <c r="B6">
        <v>20.126717815365541</v>
      </c>
      <c r="C6">
        <v>49.685200000000002</v>
      </c>
      <c r="H6" s="1"/>
    </row>
    <row r="7" spans="1:8" x14ac:dyDescent="0.2">
      <c r="A7" t="s">
        <v>150</v>
      </c>
      <c r="B7">
        <v>65.500753258662471</v>
      </c>
      <c r="C7">
        <v>15.266999999999999</v>
      </c>
      <c r="H7" s="1"/>
    </row>
    <row r="8" spans="1:8" x14ac:dyDescent="0.2">
      <c r="A8" t="s">
        <v>186</v>
      </c>
      <c r="B8">
        <v>53.238499007556015</v>
      </c>
      <c r="C8">
        <v>18.78339958190918</v>
      </c>
      <c r="H8" s="1"/>
    </row>
    <row r="9" spans="1:8" x14ac:dyDescent="0.2">
      <c r="A9" t="s">
        <v>151</v>
      </c>
      <c r="B9">
        <v>20.123558328795241</v>
      </c>
      <c r="C9">
        <v>49.693000793456996</v>
      </c>
      <c r="H9" s="1"/>
    </row>
    <row r="10" spans="1:8" x14ac:dyDescent="0.2">
      <c r="A10" t="s">
        <v>152</v>
      </c>
      <c r="B10">
        <v>89.56480461437873</v>
      </c>
      <c r="C10">
        <v>11.165100000000001</v>
      </c>
      <c r="H10" s="1"/>
    </row>
    <row r="11" spans="1:8" x14ac:dyDescent="0.2">
      <c r="A11" t="s">
        <v>153</v>
      </c>
      <c r="B11">
        <v>7.7340417715596068</v>
      </c>
      <c r="C11">
        <v>129.29850000000002</v>
      </c>
      <c r="H11" s="1"/>
    </row>
    <row r="12" spans="1:8" x14ac:dyDescent="0.2">
      <c r="A12" t="s">
        <v>187</v>
      </c>
      <c r="B12">
        <v>26.89401070381626</v>
      </c>
      <c r="C12">
        <v>37.183</v>
      </c>
      <c r="H12" s="1"/>
    </row>
    <row r="13" spans="1:8" x14ac:dyDescent="0.2">
      <c r="A13" t="s">
        <v>188</v>
      </c>
      <c r="B13">
        <v>41.071809952520987</v>
      </c>
      <c r="C13">
        <v>24.3476</v>
      </c>
      <c r="H13" s="1"/>
    </row>
    <row r="14" spans="1:8" x14ac:dyDescent="0.2">
      <c r="A14" t="s">
        <v>189</v>
      </c>
      <c r="B14">
        <v>147.09776117207494</v>
      </c>
      <c r="C14">
        <v>6.7982000000000005</v>
      </c>
      <c r="H14" s="1"/>
    </row>
    <row r="15" spans="1:8" x14ac:dyDescent="0.2">
      <c r="A15" t="s">
        <v>154</v>
      </c>
      <c r="B15">
        <v>99.090350581660346</v>
      </c>
      <c r="C15">
        <v>10.091800000000001</v>
      </c>
      <c r="H15" s="1"/>
    </row>
    <row r="16" spans="1:8" x14ac:dyDescent="0.2">
      <c r="A16" t="s">
        <v>155</v>
      </c>
      <c r="B16">
        <v>10.277750027852703</v>
      </c>
      <c r="C16">
        <v>97.297560000000004</v>
      </c>
      <c r="H16" s="1"/>
    </row>
    <row r="17" spans="1:8" x14ac:dyDescent="0.2">
      <c r="A17" t="s">
        <v>190</v>
      </c>
      <c r="B17">
        <v>-11.951590387077772</v>
      </c>
      <c r="C17">
        <v>1.38893648982048E-2</v>
      </c>
      <c r="H17" s="1"/>
    </row>
    <row r="18" spans="1:8" x14ac:dyDescent="0.2">
      <c r="A18" t="s">
        <v>191</v>
      </c>
      <c r="B18">
        <v>116.40088464672333</v>
      </c>
      <c r="C18">
        <v>8.5909999999999993</v>
      </c>
      <c r="H18" s="1"/>
    </row>
    <row r="19" spans="1:8" x14ac:dyDescent="0.2">
      <c r="A19" t="s">
        <v>156</v>
      </c>
      <c r="B19">
        <v>60.61891916467129</v>
      </c>
      <c r="C19">
        <v>16.496500000000001</v>
      </c>
      <c r="H19" s="1"/>
    </row>
    <row r="20" spans="1:8" x14ac:dyDescent="0.2">
      <c r="A20" t="s">
        <v>192</v>
      </c>
      <c r="B20">
        <v>71.973513746941123</v>
      </c>
      <c r="C20">
        <v>13.894</v>
      </c>
      <c r="H20" s="1"/>
    </row>
    <row r="21" spans="1:8" x14ac:dyDescent="0.2">
      <c r="A21" t="s">
        <v>157</v>
      </c>
      <c r="B21">
        <v>66.806961285365929</v>
      </c>
      <c r="C21">
        <v>14.968500000000001</v>
      </c>
      <c r="H21" s="1"/>
    </row>
    <row r="22" spans="1:8" x14ac:dyDescent="0.2">
      <c r="A22" t="s">
        <v>158</v>
      </c>
      <c r="B22">
        <v>83.281282531750989</v>
      </c>
      <c r="C22">
        <v>12.0075</v>
      </c>
      <c r="H22" s="1"/>
    </row>
    <row r="23" spans="1:8" x14ac:dyDescent="0.2">
      <c r="A23" t="s">
        <v>193</v>
      </c>
      <c r="B23">
        <v>9.5114989266273451</v>
      </c>
      <c r="C23">
        <v>105.13590000000001</v>
      </c>
      <c r="H23" s="1"/>
    </row>
    <row r="24" spans="1:8" x14ac:dyDescent="0.2">
      <c r="A24" t="s">
        <v>194</v>
      </c>
      <c r="B24">
        <v>33.712486430724212</v>
      </c>
      <c r="C24">
        <v>29.662600000000001</v>
      </c>
      <c r="H24" s="1"/>
    </row>
    <row r="25" spans="1:8" x14ac:dyDescent="0.2">
      <c r="A25" t="s">
        <v>159</v>
      </c>
      <c r="B25">
        <v>80.811600014494047</v>
      </c>
      <c r="C25">
        <v>2474.892218</v>
      </c>
      <c r="H25" s="1"/>
    </row>
    <row r="26" spans="1:8" x14ac:dyDescent="0.2">
      <c r="A26" t="s">
        <v>160</v>
      </c>
      <c r="B26">
        <v>116.74469103517518</v>
      </c>
      <c r="C26">
        <v>8.5656999999999996</v>
      </c>
      <c r="H26" s="1"/>
    </row>
    <row r="27" spans="1:8" x14ac:dyDescent="0.2">
      <c r="A27" t="s">
        <v>161</v>
      </c>
      <c r="B27">
        <v>25.474526746979357</v>
      </c>
      <c r="C27">
        <v>39.254899999999999</v>
      </c>
      <c r="H27" s="1"/>
    </row>
    <row r="28" spans="1:8" x14ac:dyDescent="0.2">
      <c r="A28" t="s">
        <v>162</v>
      </c>
      <c r="B28">
        <v>139.8151643527257</v>
      </c>
      <c r="C28">
        <v>7.1523000000000003</v>
      </c>
      <c r="H28" s="1"/>
    </row>
    <row r="29" spans="1:8" x14ac:dyDescent="0.2">
      <c r="A29" t="s">
        <v>163</v>
      </c>
      <c r="B29">
        <v>235.59420756234914</v>
      </c>
      <c r="C29">
        <v>3.1074999999999999</v>
      </c>
      <c r="H29" s="1"/>
    </row>
    <row r="30" spans="1:8" x14ac:dyDescent="0.2">
      <c r="A30" t="s">
        <v>164</v>
      </c>
      <c r="B30">
        <v>99.29401952120422</v>
      </c>
      <c r="C30">
        <v>10.071100000000001</v>
      </c>
      <c r="H30" s="1"/>
    </row>
    <row r="31" spans="1:8" x14ac:dyDescent="0.2">
      <c r="A31" t="s">
        <v>165</v>
      </c>
      <c r="B31">
        <v>37.047395606698771</v>
      </c>
      <c r="C31">
        <v>26.9924507141113</v>
      </c>
      <c r="H31" s="1"/>
    </row>
    <row r="32" spans="1:8" x14ac:dyDescent="0.2">
      <c r="A32" t="s">
        <v>195</v>
      </c>
      <c r="B32">
        <v>167.40604335816522</v>
      </c>
      <c r="C32">
        <v>5.9735000000000005</v>
      </c>
      <c r="H32" s="1"/>
    </row>
    <row r="33" spans="1:8" x14ac:dyDescent="0.2">
      <c r="A33" t="s">
        <v>166</v>
      </c>
      <c r="B33">
        <v>20.654755757513168</v>
      </c>
      <c r="C33">
        <v>48.414999999999999</v>
      </c>
      <c r="H33" s="1"/>
    </row>
    <row r="34" spans="1:8" x14ac:dyDescent="0.2">
      <c r="A34" t="s">
        <v>167</v>
      </c>
      <c r="B34">
        <v>84.998597523140859</v>
      </c>
      <c r="C34">
        <v>11.764900000000001</v>
      </c>
      <c r="H34" s="1"/>
    </row>
    <row r="35" spans="1:8" x14ac:dyDescent="0.2">
      <c r="A35" t="s">
        <v>196</v>
      </c>
      <c r="B35">
        <v>36.578585432944138</v>
      </c>
      <c r="C35">
        <v>27.3384</v>
      </c>
      <c r="H35" s="1"/>
    </row>
    <row r="36" spans="1:8" x14ac:dyDescent="0.2">
      <c r="A36" t="s">
        <v>197</v>
      </c>
      <c r="B36">
        <v>369.35000677757262</v>
      </c>
      <c r="C36">
        <v>2.7074590000000001</v>
      </c>
      <c r="H36" s="1"/>
    </row>
    <row r="37" spans="1:8" x14ac:dyDescent="0.2">
      <c r="A37" t="s">
        <v>198</v>
      </c>
      <c r="B37">
        <v>35.673006949101747</v>
      </c>
      <c r="C37">
        <v>28.032400000000003</v>
      </c>
      <c r="H37" s="1"/>
    </row>
    <row r="38" spans="1:8" x14ac:dyDescent="0.2">
      <c r="A38" t="s">
        <v>199</v>
      </c>
      <c r="B38">
        <v>16.199998704000105</v>
      </c>
      <c r="C38">
        <v>61.728400000000001</v>
      </c>
      <c r="H38" s="1"/>
    </row>
    <row r="39" spans="1:8" x14ac:dyDescent="0.2">
      <c r="A39" t="s">
        <v>200</v>
      </c>
      <c r="B39">
        <v>121.91256430887766</v>
      </c>
      <c r="C39">
        <v>8.2026000000000003</v>
      </c>
      <c r="H39" s="1"/>
    </row>
    <row r="40" spans="1:8" x14ac:dyDescent="0.2">
      <c r="A40" t="s">
        <v>168</v>
      </c>
      <c r="B40">
        <v>100.06404098623118</v>
      </c>
      <c r="C40">
        <v>9.9936000000000007</v>
      </c>
      <c r="H40" s="1"/>
    </row>
    <row r="41" spans="1:8" x14ac:dyDescent="0.2">
      <c r="A41" t="s">
        <v>201</v>
      </c>
      <c r="B41">
        <v>190.62505957033105</v>
      </c>
      <c r="C41">
        <v>5.2459000000000016</v>
      </c>
      <c r="H41" s="1"/>
    </row>
    <row r="42" spans="1:8" x14ac:dyDescent="0.2">
      <c r="A42" t="s">
        <v>202</v>
      </c>
      <c r="B42">
        <v>57.502659498001783</v>
      </c>
      <c r="C42">
        <v>17.390499999999999</v>
      </c>
      <c r="H42" s="1"/>
    </row>
    <row r="43" spans="1:8" x14ac:dyDescent="0.2">
      <c r="A43" t="s">
        <v>169</v>
      </c>
      <c r="B43">
        <v>519.99970880016315</v>
      </c>
      <c r="C43">
        <v>1.9230779999999998</v>
      </c>
      <c r="H43" s="1"/>
    </row>
    <row r="44" spans="1:8" x14ac:dyDescent="0.2">
      <c r="A44" t="s">
        <v>170</v>
      </c>
      <c r="B44">
        <v>205.99868160843769</v>
      </c>
      <c r="C44">
        <v>4.8544</v>
      </c>
      <c r="H44" s="1"/>
    </row>
    <row r="45" spans="1:8" x14ac:dyDescent="0.2">
      <c r="A45" t="s">
        <v>203</v>
      </c>
      <c r="B45">
        <v>160.87774899853599</v>
      </c>
      <c r="C45">
        <v>6.2159000000000004</v>
      </c>
      <c r="H45" s="1"/>
    </row>
    <row r="46" spans="1:8" x14ac:dyDescent="0.2">
      <c r="A46" t="s">
        <v>204</v>
      </c>
      <c r="B46">
        <v>97.040271712760799</v>
      </c>
      <c r="C46">
        <v>10.305</v>
      </c>
      <c r="H46" s="1"/>
    </row>
    <row r="47" spans="1:8" x14ac:dyDescent="0.2">
      <c r="A47" t="s">
        <v>205</v>
      </c>
      <c r="B47">
        <v>370.45269319107945</v>
      </c>
      <c r="C47">
        <v>2.6994000000000002</v>
      </c>
      <c r="H47" s="1"/>
    </row>
    <row r="48" spans="1:8" x14ac:dyDescent="0.2">
      <c r="A48" t="s">
        <v>206</v>
      </c>
      <c r="B48">
        <v>93.968182373448357</v>
      </c>
      <c r="C48">
        <v>10.6419</v>
      </c>
      <c r="H48" s="1"/>
    </row>
    <row r="49" spans="1:8" x14ac:dyDescent="0.2">
      <c r="A49" t="s">
        <v>171</v>
      </c>
      <c r="B49">
        <v>22.312513526961325</v>
      </c>
      <c r="C49">
        <v>44.817900000000002</v>
      </c>
      <c r="H49" s="1"/>
    </row>
    <row r="50" spans="1:8" x14ac:dyDescent="0.2">
      <c r="A50" t="s">
        <v>172</v>
      </c>
      <c r="B50">
        <v>33.687047330301496</v>
      </c>
      <c r="C50">
        <v>29.685000000000002</v>
      </c>
      <c r="H50" s="1"/>
    </row>
    <row r="51" spans="1:8" x14ac:dyDescent="0.2">
      <c r="A51" t="s">
        <v>207</v>
      </c>
      <c r="B51">
        <v>30.302754823440996</v>
      </c>
      <c r="C51">
        <v>33.000300000000003</v>
      </c>
      <c r="H51" s="1"/>
    </row>
    <row r="52" spans="1:8" x14ac:dyDescent="0.2">
      <c r="A52" t="s">
        <v>173</v>
      </c>
      <c r="B52">
        <v>239.23444976076556</v>
      </c>
      <c r="C52">
        <v>4.18</v>
      </c>
      <c r="H52" s="1"/>
    </row>
    <row r="53" spans="1:8" x14ac:dyDescent="0.2">
      <c r="A53" t="s">
        <v>208</v>
      </c>
      <c r="B53">
        <v>23.863272991070364</v>
      </c>
      <c r="C53">
        <v>41.9054</v>
      </c>
      <c r="H53" s="1"/>
    </row>
    <row r="54" spans="1:8" x14ac:dyDescent="0.2">
      <c r="A54" t="s">
        <v>209</v>
      </c>
      <c r="B54">
        <v>29.791962724296241</v>
      </c>
      <c r="C54">
        <v>33.566099999999999</v>
      </c>
      <c r="H54" s="1"/>
    </row>
    <row r="55" spans="1:8" x14ac:dyDescent="0.2">
      <c r="A55" t="s">
        <v>174</v>
      </c>
      <c r="B55">
        <v>397.99410968717666</v>
      </c>
      <c r="C55">
        <v>2.5125999999999999</v>
      </c>
      <c r="H55" s="1"/>
    </row>
    <row r="56" spans="1:8" x14ac:dyDescent="0.2">
      <c r="A56" t="s">
        <v>210</v>
      </c>
      <c r="B56">
        <v>76.17480594468185</v>
      </c>
      <c r="C56">
        <v>13.127700000000001</v>
      </c>
      <c r="H56" s="1"/>
    </row>
    <row r="57" spans="1:8" x14ac:dyDescent="0.2">
      <c r="A57" t="s">
        <v>175</v>
      </c>
      <c r="B57">
        <v>215.65202389424422</v>
      </c>
      <c r="C57">
        <v>4.6371000000000002</v>
      </c>
      <c r="H57" s="1"/>
    </row>
    <row r="58" spans="1:8" x14ac:dyDescent="0.2">
      <c r="A58" t="s">
        <v>176</v>
      </c>
      <c r="B58">
        <v>19.233506306666715</v>
      </c>
      <c r="C58">
        <v>51.992600000000003</v>
      </c>
      <c r="H58" s="1"/>
    </row>
    <row r="59" spans="1:8" x14ac:dyDescent="0.2">
      <c r="A59" t="s">
        <v>211</v>
      </c>
      <c r="B59">
        <v>72.543671290116649</v>
      </c>
      <c r="C59">
        <v>13.784800000000001</v>
      </c>
      <c r="H59" s="1"/>
    </row>
    <row r="60" spans="1:8" x14ac:dyDescent="0.2">
      <c r="A60" t="s">
        <v>177</v>
      </c>
      <c r="B60">
        <v>79.814192559720965</v>
      </c>
      <c r="C60">
        <v>12.529100000000001</v>
      </c>
      <c r="H60" s="1"/>
    </row>
    <row r="61" spans="1:8" x14ac:dyDescent="0.2">
      <c r="A61" t="s">
        <v>212</v>
      </c>
      <c r="B61">
        <v>23.162195590844448</v>
      </c>
      <c r="C61">
        <v>43.1738</v>
      </c>
      <c r="H61" s="1"/>
    </row>
    <row r="62" spans="1:8" x14ac:dyDescent="0.2">
      <c r="A62" t="s">
        <v>213</v>
      </c>
      <c r="B62">
        <v>118.88062008131432</v>
      </c>
      <c r="C62">
        <v>8.4118000000000013</v>
      </c>
      <c r="H62" s="1"/>
    </row>
    <row r="63" spans="1:8" x14ac:dyDescent="0.2">
      <c r="A63" t="s">
        <v>214</v>
      </c>
      <c r="B63">
        <v>86.827413150879991</v>
      </c>
      <c r="C63">
        <v>11.517100000000001</v>
      </c>
      <c r="H63" s="1"/>
    </row>
    <row r="64" spans="1:8" x14ac:dyDescent="0.2">
      <c r="A64" t="s">
        <v>178</v>
      </c>
      <c r="B64">
        <v>80.840090217540677</v>
      </c>
      <c r="C64">
        <v>12.370100000000001</v>
      </c>
      <c r="H64" s="1"/>
    </row>
    <row r="65" spans="1:8" x14ac:dyDescent="0.2">
      <c r="A65" t="s">
        <v>215</v>
      </c>
      <c r="B65">
        <v>25.920031518758325</v>
      </c>
      <c r="C65">
        <v>38.580200000000005</v>
      </c>
      <c r="H65" s="1"/>
    </row>
    <row r="66" spans="1:8" x14ac:dyDescent="0.2">
      <c r="A66" t="s">
        <v>179</v>
      </c>
      <c r="B66">
        <v>189.29355644733855</v>
      </c>
      <c r="C66">
        <v>5.2827999999999999</v>
      </c>
      <c r="H66" s="1"/>
    </row>
    <row r="67" spans="1:8" x14ac:dyDescent="0.2">
      <c r="A67" t="s">
        <v>180</v>
      </c>
      <c r="B67">
        <v>228.72827081427266</v>
      </c>
      <c r="C67">
        <v>4.3719999999999999</v>
      </c>
      <c r="H67" s="1"/>
    </row>
    <row r="68" spans="1:8" x14ac:dyDescent="0.2">
      <c r="A68" t="s">
        <v>216</v>
      </c>
      <c r="B68">
        <v>51.076957652094407</v>
      </c>
      <c r="C68">
        <v>19.578300000000002</v>
      </c>
      <c r="H68" s="1"/>
    </row>
    <row r="69" spans="1:8" x14ac:dyDescent="0.2">
      <c r="A69" t="s">
        <v>181</v>
      </c>
      <c r="B69">
        <v>54.780112627911564</v>
      </c>
      <c r="C69">
        <v>18.254799999999999</v>
      </c>
      <c r="H69" s="1"/>
    </row>
    <row r="70" spans="1:8" x14ac:dyDescent="0.2">
      <c r="A70" t="s">
        <v>217</v>
      </c>
      <c r="B70">
        <v>13.392008185195401</v>
      </c>
      <c r="C70">
        <v>74.671400000000006</v>
      </c>
      <c r="H70" s="1"/>
    </row>
    <row r="71" spans="1:8" x14ac:dyDescent="0.2">
      <c r="A71" t="s">
        <v>218</v>
      </c>
      <c r="B71">
        <v>38.004750593824227</v>
      </c>
      <c r="C71">
        <v>26.3125</v>
      </c>
      <c r="H71" s="1"/>
    </row>
    <row r="72" spans="1:8" x14ac:dyDescent="0.2">
      <c r="A72" t="s">
        <v>219</v>
      </c>
      <c r="B72">
        <v>35.512498623890679</v>
      </c>
      <c r="C72">
        <v>28.159100000000002</v>
      </c>
      <c r="H72" s="1"/>
    </row>
    <row r="73" spans="1:8" x14ac:dyDescent="0.2">
      <c r="A73" t="s">
        <v>182</v>
      </c>
      <c r="B73">
        <v>515.19835136527558</v>
      </c>
      <c r="C73">
        <v>1.9410000000000001</v>
      </c>
      <c r="H73" s="1"/>
    </row>
    <row r="74" spans="1:8" x14ac:dyDescent="0.2">
      <c r="A74" t="s">
        <v>183</v>
      </c>
      <c r="B74">
        <v>461.19079463173915</v>
      </c>
      <c r="C74">
        <v>2.1682999999999999</v>
      </c>
      <c r="H74" s="1"/>
    </row>
  </sheetData>
  <conditionalFormatting sqref="A1 A75:A1048576">
    <cfRule type="duplicateValues" dxfId="3" priority="2"/>
  </conditionalFormatting>
  <conditionalFormatting sqref="E1:E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06AF-6018-E44E-98FE-FC7DC35223A0}">
  <dimension ref="A1:J74"/>
  <sheetViews>
    <sheetView workbookViewId="0">
      <selection activeCell="J2" sqref="J2:J74"/>
    </sheetView>
  </sheetViews>
  <sheetFormatPr baseColWidth="10" defaultColWidth="8.83203125" defaultRowHeight="15" x14ac:dyDescent="0.2"/>
  <cols>
    <col min="1" max="1" width="17.5" bestFit="1" customWidth="1"/>
    <col min="5" max="5" width="17.5" bestFit="1" customWidth="1"/>
  </cols>
  <sheetData>
    <row r="1" spans="1:10" x14ac:dyDescent="0.2">
      <c r="B1" t="s">
        <v>27</v>
      </c>
      <c r="C1" t="s">
        <v>28</v>
      </c>
    </row>
    <row r="2" spans="1:10" x14ac:dyDescent="0.2">
      <c r="A2" t="s">
        <v>29</v>
      </c>
      <c r="B2">
        <v>31.426183038660486</v>
      </c>
      <c r="C2">
        <v>31.820600000000002</v>
      </c>
      <c r="E2" t="s">
        <v>75</v>
      </c>
      <c r="F2">
        <v>15</v>
      </c>
      <c r="G2">
        <v>23</v>
      </c>
      <c r="H2" s="1" t="str">
        <f>CONCATENATE(20,G2)</f>
        <v>2023</v>
      </c>
      <c r="J2" t="str">
        <f>CONCATENATE(E2, "/", F2, "/", H2)</f>
        <v>TER 1.25 12/15/2023</v>
      </c>
    </row>
    <row r="3" spans="1:10" x14ac:dyDescent="0.2">
      <c r="A3" t="s">
        <v>30</v>
      </c>
      <c r="B3">
        <v>185.75276307235066</v>
      </c>
      <c r="C3">
        <v>5.3835000000000015</v>
      </c>
      <c r="E3" t="s">
        <v>76</v>
      </c>
      <c r="F3">
        <v>15</v>
      </c>
      <c r="G3">
        <v>26</v>
      </c>
      <c r="H3" s="1" t="str">
        <f t="shared" ref="H3:H66" si="0">CONCATENATE(20,G3)</f>
        <v>2026</v>
      </c>
      <c r="J3" t="str">
        <f t="shared" ref="J3:J66" si="1">CONCATENATE(E3, "/", F3, "/", H3)</f>
        <v>DISH 3.375 08/15/2026</v>
      </c>
    </row>
    <row r="4" spans="1:10" x14ac:dyDescent="0.2">
      <c r="A4" t="s">
        <v>31</v>
      </c>
      <c r="B4">
        <v>26.000026000026001</v>
      </c>
      <c r="C4">
        <v>38.461500000000001</v>
      </c>
      <c r="E4" t="s">
        <v>77</v>
      </c>
      <c r="F4">
        <v>15</v>
      </c>
      <c r="G4">
        <v>23</v>
      </c>
      <c r="H4" s="1" t="str">
        <f t="shared" si="0"/>
        <v>2023</v>
      </c>
      <c r="J4" t="str">
        <f t="shared" si="1"/>
        <v>AJRD 2.25 12/15/2023</v>
      </c>
    </row>
    <row r="5" spans="1:10" x14ac:dyDescent="0.2">
      <c r="A5" t="s">
        <v>0</v>
      </c>
      <c r="B5">
        <v>52.360132994737803</v>
      </c>
      <c r="C5">
        <v>19.098500000000001</v>
      </c>
      <c r="E5" t="s">
        <v>78</v>
      </c>
      <c r="F5">
        <v>1</v>
      </c>
      <c r="G5">
        <v>21</v>
      </c>
      <c r="H5" s="1" t="str">
        <f t="shared" si="0"/>
        <v>2021</v>
      </c>
      <c r="J5" t="str">
        <f t="shared" si="1"/>
        <v>Z 2 12/1/2021</v>
      </c>
    </row>
    <row r="6" spans="1:10" x14ac:dyDescent="0.2">
      <c r="A6" t="s">
        <v>32</v>
      </c>
      <c r="B6">
        <v>20.126717815365541</v>
      </c>
      <c r="C6">
        <v>49.685200000000002</v>
      </c>
      <c r="E6" t="s">
        <v>79</v>
      </c>
      <c r="F6">
        <v>1</v>
      </c>
      <c r="G6">
        <v>39</v>
      </c>
      <c r="H6" s="1" t="str">
        <f t="shared" si="0"/>
        <v>2039</v>
      </c>
      <c r="J6" t="str">
        <f t="shared" si="1"/>
        <v>INTC 3.25 08/1/2039</v>
      </c>
    </row>
    <row r="7" spans="1:10" x14ac:dyDescent="0.2">
      <c r="A7" t="s">
        <v>33</v>
      </c>
      <c r="B7">
        <v>65.500753258662471</v>
      </c>
      <c r="C7">
        <v>15.266999999999999</v>
      </c>
      <c r="E7" t="s">
        <v>80</v>
      </c>
      <c r="F7">
        <v>15</v>
      </c>
      <c r="G7">
        <v>22</v>
      </c>
      <c r="H7" s="1" t="str">
        <f t="shared" si="0"/>
        <v>2022</v>
      </c>
      <c r="J7" t="str">
        <f t="shared" si="1"/>
        <v>TSLA 2.375 03/15/2022</v>
      </c>
    </row>
    <row r="8" spans="1:10" x14ac:dyDescent="0.2">
      <c r="A8" t="s">
        <v>1</v>
      </c>
      <c r="B8">
        <v>53.238499007556015</v>
      </c>
      <c r="C8">
        <v>18.78339958190918</v>
      </c>
      <c r="E8" t="s">
        <v>81</v>
      </c>
      <c r="F8">
        <v>1</v>
      </c>
      <c r="G8">
        <v>18</v>
      </c>
      <c r="H8" s="1" t="str">
        <f t="shared" si="0"/>
        <v>2018</v>
      </c>
      <c r="J8" t="str">
        <f t="shared" si="1"/>
        <v>AABA 0 12/1/2018</v>
      </c>
    </row>
    <row r="9" spans="1:10" x14ac:dyDescent="0.2">
      <c r="A9" t="s">
        <v>34</v>
      </c>
      <c r="B9">
        <v>20.123558328795241</v>
      </c>
      <c r="C9">
        <v>49.693000793456996</v>
      </c>
      <c r="E9" t="s">
        <v>82</v>
      </c>
      <c r="F9">
        <v>15</v>
      </c>
      <c r="G9">
        <v>19</v>
      </c>
      <c r="H9" s="1" t="str">
        <f t="shared" si="0"/>
        <v>2019</v>
      </c>
      <c r="J9" t="str">
        <f t="shared" si="1"/>
        <v>VIPS 1.5 03/15/2019</v>
      </c>
    </row>
    <row r="10" spans="1:10" x14ac:dyDescent="0.2">
      <c r="A10" t="s">
        <v>3</v>
      </c>
      <c r="B10">
        <v>89.56480461437873</v>
      </c>
      <c r="C10">
        <v>11.165100000000001</v>
      </c>
      <c r="E10" t="s">
        <v>83</v>
      </c>
      <c r="F10">
        <v>15</v>
      </c>
      <c r="G10">
        <v>19</v>
      </c>
      <c r="H10" s="1" t="str">
        <f t="shared" si="0"/>
        <v>2019</v>
      </c>
      <c r="J10" t="str">
        <f t="shared" si="1"/>
        <v>AKAM 0 02/15/2019</v>
      </c>
    </row>
    <row r="11" spans="1:10" x14ac:dyDescent="0.2">
      <c r="A11" t="s">
        <v>35</v>
      </c>
      <c r="B11">
        <v>7.7340417715596068</v>
      </c>
      <c r="C11">
        <v>129.29850000000002</v>
      </c>
      <c r="E11" t="s">
        <v>84</v>
      </c>
      <c r="F11">
        <v>15</v>
      </c>
      <c r="G11">
        <v>25</v>
      </c>
      <c r="H11" s="1" t="str">
        <f t="shared" si="0"/>
        <v>2025</v>
      </c>
      <c r="J11" t="str">
        <f t="shared" si="1"/>
        <v>CLF 1.5 01/15/2025</v>
      </c>
    </row>
    <row r="12" spans="1:10" x14ac:dyDescent="0.2">
      <c r="A12" t="s">
        <v>36</v>
      </c>
      <c r="B12">
        <v>26.89401070381626</v>
      </c>
      <c r="C12">
        <v>37.183</v>
      </c>
      <c r="E12" t="s">
        <v>85</v>
      </c>
      <c r="F12">
        <v>1</v>
      </c>
      <c r="G12">
        <v>23</v>
      </c>
      <c r="H12" s="1" t="str">
        <f t="shared" si="0"/>
        <v>2023</v>
      </c>
      <c r="J12" t="str">
        <f t="shared" si="1"/>
        <v>IQ 3.75 12/1/2023</v>
      </c>
    </row>
    <row r="13" spans="1:10" x14ac:dyDescent="0.2">
      <c r="A13" t="s">
        <v>37</v>
      </c>
      <c r="B13">
        <v>41.071809952520987</v>
      </c>
      <c r="C13">
        <v>24.3476</v>
      </c>
      <c r="E13" t="s">
        <v>86</v>
      </c>
      <c r="F13">
        <v>1</v>
      </c>
      <c r="G13">
        <v>23</v>
      </c>
      <c r="H13" s="1" t="str">
        <f t="shared" si="0"/>
        <v>2023</v>
      </c>
      <c r="J13" t="str">
        <f t="shared" si="1"/>
        <v>DXCM 0.75 12/1/2023</v>
      </c>
    </row>
    <row r="14" spans="1:10" x14ac:dyDescent="0.2">
      <c r="A14" t="s">
        <v>38</v>
      </c>
      <c r="B14">
        <v>147.09776117207494</v>
      </c>
      <c r="C14">
        <v>6.7982000000000005</v>
      </c>
      <c r="E14" t="s">
        <v>87</v>
      </c>
      <c r="F14">
        <v>1</v>
      </c>
      <c r="G14">
        <v>22</v>
      </c>
      <c r="H14" s="1" t="str">
        <f t="shared" si="0"/>
        <v>2022</v>
      </c>
      <c r="J14" t="str">
        <f t="shared" si="1"/>
        <v>WDAY 0.25 10/1/2022</v>
      </c>
    </row>
    <row r="15" spans="1:10" x14ac:dyDescent="0.2">
      <c r="A15" t="s">
        <v>39</v>
      </c>
      <c r="B15">
        <v>99.090350581660346</v>
      </c>
      <c r="C15">
        <v>10.091800000000001</v>
      </c>
      <c r="E15" t="s">
        <v>88</v>
      </c>
      <c r="F15">
        <v>15</v>
      </c>
      <c r="G15">
        <v>22</v>
      </c>
      <c r="H15" s="1" t="str">
        <f t="shared" si="0"/>
        <v>2022</v>
      </c>
      <c r="J15" t="str">
        <f t="shared" si="1"/>
        <v>DXCM 0.75 05/15/2022</v>
      </c>
    </row>
    <row r="16" spans="1:10" x14ac:dyDescent="0.2">
      <c r="A16" t="s">
        <v>40</v>
      </c>
      <c r="B16">
        <v>10.277750027852703</v>
      </c>
      <c r="C16">
        <v>97.297560000000004</v>
      </c>
      <c r="E16" t="s">
        <v>89</v>
      </c>
      <c r="F16">
        <v>30</v>
      </c>
      <c r="G16">
        <v>23</v>
      </c>
      <c r="H16" s="1" t="str">
        <f t="shared" si="0"/>
        <v>2023</v>
      </c>
      <c r="J16" t="str">
        <f t="shared" si="1"/>
        <v>RIG 0.5 01/30/2023</v>
      </c>
    </row>
    <row r="17" spans="1:10" x14ac:dyDescent="0.2">
      <c r="A17" t="s">
        <v>2</v>
      </c>
      <c r="B17">
        <v>-11.951590387077772</v>
      </c>
      <c r="C17">
        <v>1.38893648982048E-2</v>
      </c>
      <c r="E17" t="s">
        <v>90</v>
      </c>
      <c r="F17">
        <v>1</v>
      </c>
      <c r="G17">
        <v>24</v>
      </c>
      <c r="H17" s="1" t="str">
        <f t="shared" si="0"/>
        <v>2024</v>
      </c>
      <c r="J17" t="str">
        <f t="shared" si="1"/>
        <v>CZR 5 10/1/2024</v>
      </c>
    </row>
    <row r="18" spans="1:10" x14ac:dyDescent="0.2">
      <c r="A18" t="s">
        <v>41</v>
      </c>
      <c r="B18">
        <v>116.40088464672333</v>
      </c>
      <c r="C18">
        <v>8.5909999999999993</v>
      </c>
      <c r="E18" t="s">
        <v>91</v>
      </c>
      <c r="F18">
        <v>1</v>
      </c>
      <c r="G18">
        <v>24</v>
      </c>
      <c r="H18" s="1" t="str">
        <f t="shared" si="0"/>
        <v>2024</v>
      </c>
      <c r="J18" t="str">
        <f t="shared" si="1"/>
        <v>W 1.125 11/1/2024</v>
      </c>
    </row>
    <row r="19" spans="1:10" x14ac:dyDescent="0.2">
      <c r="A19" t="s">
        <v>42</v>
      </c>
      <c r="B19">
        <v>60.61891916467129</v>
      </c>
      <c r="C19">
        <v>16.496500000000001</v>
      </c>
      <c r="E19" t="s">
        <v>92</v>
      </c>
      <c r="F19">
        <v>15</v>
      </c>
      <c r="G19">
        <v>24</v>
      </c>
      <c r="H19" s="1" t="str">
        <f t="shared" si="0"/>
        <v>2024</v>
      </c>
      <c r="J19" t="str">
        <f t="shared" si="1"/>
        <v>LITE 0.25 03/15/2024</v>
      </c>
    </row>
    <row r="20" spans="1:10" x14ac:dyDescent="0.2">
      <c r="A20" t="s">
        <v>43</v>
      </c>
      <c r="B20">
        <v>71.973513746941123</v>
      </c>
      <c r="C20">
        <v>13.894</v>
      </c>
      <c r="E20" t="s">
        <v>93</v>
      </c>
      <c r="F20">
        <v>1</v>
      </c>
      <c r="G20">
        <v>21</v>
      </c>
      <c r="H20" s="1" t="str">
        <f t="shared" si="0"/>
        <v>2021</v>
      </c>
      <c r="J20" t="str">
        <f t="shared" si="1"/>
        <v>TSLA 1.25 03/1/2021</v>
      </c>
    </row>
    <row r="21" spans="1:10" x14ac:dyDescent="0.2">
      <c r="A21" t="s">
        <v>6</v>
      </c>
      <c r="B21">
        <v>66.806961285365929</v>
      </c>
      <c r="C21">
        <v>14.968500000000001</v>
      </c>
      <c r="E21" t="s">
        <v>94</v>
      </c>
      <c r="F21">
        <v>15</v>
      </c>
      <c r="G21">
        <v>21</v>
      </c>
      <c r="H21" s="1" t="str">
        <f t="shared" si="0"/>
        <v>2021</v>
      </c>
      <c r="J21" t="str">
        <f t="shared" si="1"/>
        <v>IONS 1 11/15/2021</v>
      </c>
    </row>
    <row r="22" spans="1:10" x14ac:dyDescent="0.2">
      <c r="A22" t="s">
        <v>44</v>
      </c>
      <c r="B22">
        <v>83.281282531750989</v>
      </c>
      <c r="C22">
        <v>12.0075</v>
      </c>
      <c r="E22" t="s">
        <v>95</v>
      </c>
      <c r="F22">
        <v>15</v>
      </c>
      <c r="G22">
        <v>24</v>
      </c>
      <c r="H22" s="1" t="str">
        <f t="shared" si="0"/>
        <v>2024</v>
      </c>
      <c r="J22" t="str">
        <f t="shared" si="1"/>
        <v>IONS 0.125 12/15/2024</v>
      </c>
    </row>
    <row r="23" spans="1:10" x14ac:dyDescent="0.2">
      <c r="A23" t="s">
        <v>45</v>
      </c>
      <c r="B23">
        <v>9.5114989266273451</v>
      </c>
      <c r="C23">
        <v>105.13590000000001</v>
      </c>
      <c r="E23" t="s">
        <v>96</v>
      </c>
      <c r="F23">
        <v>1</v>
      </c>
      <c r="G23">
        <v>24</v>
      </c>
      <c r="H23" s="1" t="str">
        <f t="shared" si="0"/>
        <v>2024</v>
      </c>
      <c r="J23" t="str">
        <f t="shared" si="1"/>
        <v>NIO 4.5 02/1/2024</v>
      </c>
    </row>
    <row r="24" spans="1:10" x14ac:dyDescent="0.2">
      <c r="A24" t="s">
        <v>46</v>
      </c>
      <c r="B24">
        <v>33.712486430724212</v>
      </c>
      <c r="C24">
        <v>29.662600000000001</v>
      </c>
      <c r="E24" t="s">
        <v>97</v>
      </c>
      <c r="F24">
        <v>1</v>
      </c>
      <c r="G24">
        <v>22</v>
      </c>
      <c r="H24" s="1" t="str">
        <f t="shared" si="0"/>
        <v>2022</v>
      </c>
      <c r="J24" t="str">
        <f t="shared" si="1"/>
        <v>EVBG 1.5 11/1/2022</v>
      </c>
    </row>
    <row r="25" spans="1:10" x14ac:dyDescent="0.2">
      <c r="A25" t="s">
        <v>7</v>
      </c>
      <c r="B25">
        <v>80.811600014494047</v>
      </c>
      <c r="C25">
        <v>2474.892218</v>
      </c>
      <c r="E25" t="s">
        <v>98</v>
      </c>
      <c r="F25">
        <v>17</v>
      </c>
      <c r="G25">
        <v>27</v>
      </c>
      <c r="H25" s="1" t="str">
        <f t="shared" si="0"/>
        <v>2027</v>
      </c>
      <c r="J25" t="str">
        <f t="shared" si="1"/>
        <v>QGEN 0 12/17/2027</v>
      </c>
    </row>
    <row r="26" spans="1:10" x14ac:dyDescent="0.2">
      <c r="A26" t="s">
        <v>8</v>
      </c>
      <c r="B26">
        <v>116.74469103517518</v>
      </c>
      <c r="C26">
        <v>8.5656999999999996</v>
      </c>
      <c r="E26" t="s">
        <v>99</v>
      </c>
      <c r="F26">
        <v>15</v>
      </c>
      <c r="G26">
        <v>25</v>
      </c>
      <c r="H26" s="1" t="str">
        <f t="shared" si="0"/>
        <v>2025</v>
      </c>
      <c r="J26" t="str">
        <f t="shared" si="1"/>
        <v>DISH 0 12/15/2025</v>
      </c>
    </row>
    <row r="27" spans="1:10" x14ac:dyDescent="0.2">
      <c r="A27" t="s">
        <v>47</v>
      </c>
      <c r="B27">
        <v>25.474526746979357</v>
      </c>
      <c r="C27">
        <v>39.254899999999999</v>
      </c>
      <c r="E27" t="s">
        <v>100</v>
      </c>
      <c r="F27">
        <v>15</v>
      </c>
      <c r="G27">
        <v>26</v>
      </c>
      <c r="H27" s="1" t="str">
        <f t="shared" si="0"/>
        <v>2026</v>
      </c>
      <c r="J27" t="str">
        <f t="shared" si="1"/>
        <v>PEB 1.75 12/15/2026</v>
      </c>
    </row>
    <row r="28" spans="1:10" x14ac:dyDescent="0.2">
      <c r="A28" t="s">
        <v>11</v>
      </c>
      <c r="B28">
        <v>139.8151643527257</v>
      </c>
      <c r="C28">
        <v>7.1523000000000003</v>
      </c>
      <c r="E28" t="s">
        <v>101</v>
      </c>
      <c r="F28">
        <v>15</v>
      </c>
      <c r="G28">
        <v>27</v>
      </c>
      <c r="H28" s="1" t="str">
        <f t="shared" si="0"/>
        <v>2027</v>
      </c>
      <c r="J28" t="str">
        <f t="shared" si="1"/>
        <v>GH 0 11/15/2027</v>
      </c>
    </row>
    <row r="29" spans="1:10" x14ac:dyDescent="0.2">
      <c r="A29" t="s">
        <v>12</v>
      </c>
      <c r="B29">
        <v>235.59420756234914</v>
      </c>
      <c r="C29">
        <v>3.1074999999999999</v>
      </c>
      <c r="E29" t="s">
        <v>102</v>
      </c>
      <c r="F29">
        <v>15</v>
      </c>
      <c r="G29">
        <v>26</v>
      </c>
      <c r="H29" s="1" t="str">
        <f t="shared" si="0"/>
        <v>2026</v>
      </c>
      <c r="J29" t="str">
        <f t="shared" si="1"/>
        <v>ZNGA 0 12/15/2026</v>
      </c>
    </row>
    <row r="30" spans="1:10" x14ac:dyDescent="0.2">
      <c r="A30" t="s">
        <v>48</v>
      </c>
      <c r="B30">
        <v>99.29401952120422</v>
      </c>
      <c r="C30">
        <v>10.071100000000001</v>
      </c>
      <c r="E30" t="s">
        <v>103</v>
      </c>
      <c r="F30">
        <v>15</v>
      </c>
      <c r="G30">
        <v>26</v>
      </c>
      <c r="H30" s="1" t="str">
        <f t="shared" si="0"/>
        <v>2026</v>
      </c>
      <c r="J30" t="str">
        <f t="shared" si="1"/>
        <v>LITE 0.5 12/15/2026</v>
      </c>
    </row>
    <row r="31" spans="1:10" x14ac:dyDescent="0.2">
      <c r="A31" t="s">
        <v>49</v>
      </c>
      <c r="B31">
        <v>37.047395606698771</v>
      </c>
      <c r="C31">
        <v>26.9924507141113</v>
      </c>
      <c r="E31" t="s">
        <v>104</v>
      </c>
      <c r="F31">
        <v>15</v>
      </c>
      <c r="G31">
        <v>22</v>
      </c>
      <c r="H31" s="1" t="str">
        <f t="shared" si="0"/>
        <v>2022</v>
      </c>
      <c r="J31" t="str">
        <f t="shared" si="1"/>
        <v>GLNG 2.75 02/15/2022</v>
      </c>
    </row>
    <row r="32" spans="1:10" x14ac:dyDescent="0.2">
      <c r="A32" t="s">
        <v>4</v>
      </c>
      <c r="B32">
        <v>167.40604335816522</v>
      </c>
      <c r="C32">
        <v>5.9735000000000005</v>
      </c>
      <c r="E32" t="s">
        <v>105</v>
      </c>
      <c r="F32">
        <v>1</v>
      </c>
      <c r="G32">
        <v>23</v>
      </c>
      <c r="H32" s="1" t="str">
        <f t="shared" si="0"/>
        <v>2023</v>
      </c>
      <c r="J32" t="str">
        <f t="shared" si="1"/>
        <v>TLRY 5 10/1/2023</v>
      </c>
    </row>
    <row r="33" spans="1:10" x14ac:dyDescent="0.2">
      <c r="A33" t="s">
        <v>5</v>
      </c>
      <c r="B33">
        <v>20.654755757513168</v>
      </c>
      <c r="C33">
        <v>48.414999999999999</v>
      </c>
      <c r="E33" t="s">
        <v>106</v>
      </c>
      <c r="F33">
        <v>15</v>
      </c>
      <c r="G33">
        <v>24</v>
      </c>
      <c r="H33" s="1" t="str">
        <f t="shared" si="0"/>
        <v>2024</v>
      </c>
      <c r="J33" t="str">
        <f t="shared" si="1"/>
        <v>TSLA 2 05/15/2024</v>
      </c>
    </row>
    <row r="34" spans="1:10" x14ac:dyDescent="0.2">
      <c r="A34" t="s">
        <v>50</v>
      </c>
      <c r="B34">
        <v>84.998597523140859</v>
      </c>
      <c r="C34">
        <v>11.764900000000001</v>
      </c>
      <c r="E34" t="s">
        <v>107</v>
      </c>
      <c r="F34">
        <v>15</v>
      </c>
      <c r="G34">
        <v>25</v>
      </c>
      <c r="H34" s="1" t="str">
        <f t="shared" si="0"/>
        <v>2025</v>
      </c>
      <c r="J34" t="str">
        <f t="shared" si="1"/>
        <v>YY 0.75 06/15/2025</v>
      </c>
    </row>
    <row r="35" spans="1:10" x14ac:dyDescent="0.2">
      <c r="A35" t="s">
        <v>51</v>
      </c>
      <c r="B35">
        <v>36.578585432944138</v>
      </c>
      <c r="C35">
        <v>27.3384</v>
      </c>
      <c r="E35" t="s">
        <v>108</v>
      </c>
      <c r="F35">
        <v>1</v>
      </c>
      <c r="G35">
        <v>25</v>
      </c>
      <c r="H35" s="1" t="str">
        <f t="shared" si="0"/>
        <v>2025</v>
      </c>
      <c r="J35" t="str">
        <f t="shared" si="1"/>
        <v>LUV 1.25 05/1/2025</v>
      </c>
    </row>
    <row r="36" spans="1:10" x14ac:dyDescent="0.2">
      <c r="A36" t="s">
        <v>14</v>
      </c>
      <c r="B36">
        <v>369.35000677757262</v>
      </c>
      <c r="C36">
        <v>2.7074590000000001</v>
      </c>
      <c r="E36" t="s">
        <v>109</v>
      </c>
      <c r="F36">
        <v>1</v>
      </c>
      <c r="G36">
        <v>26</v>
      </c>
      <c r="H36" s="1" t="str">
        <f t="shared" si="0"/>
        <v>2026</v>
      </c>
      <c r="J36" t="str">
        <f t="shared" si="1"/>
        <v>MTN 0 01/1/2026</v>
      </c>
    </row>
    <row r="37" spans="1:10" x14ac:dyDescent="0.2">
      <c r="A37" t="s">
        <v>52</v>
      </c>
      <c r="B37">
        <v>35.673006949101747</v>
      </c>
      <c r="C37">
        <v>28.032400000000003</v>
      </c>
      <c r="E37" t="s">
        <v>110</v>
      </c>
      <c r="F37">
        <v>5</v>
      </c>
      <c r="G37">
        <v>22</v>
      </c>
      <c r="H37" s="1" t="str">
        <f t="shared" si="0"/>
        <v>2022</v>
      </c>
      <c r="J37" t="str">
        <f t="shared" si="1"/>
        <v>BXMT 4.375 05/5/2022</v>
      </c>
    </row>
    <row r="38" spans="1:10" x14ac:dyDescent="0.2">
      <c r="A38" t="s">
        <v>53</v>
      </c>
      <c r="B38">
        <v>16.199998704000105</v>
      </c>
      <c r="C38">
        <v>61.728400000000001</v>
      </c>
      <c r="E38" t="s">
        <v>111</v>
      </c>
      <c r="F38">
        <v>1</v>
      </c>
      <c r="G38">
        <v>25</v>
      </c>
      <c r="H38" s="1" t="str">
        <f t="shared" si="0"/>
        <v>2025</v>
      </c>
      <c r="J38" t="str">
        <f t="shared" si="1"/>
        <v>AAL 6.5 07/1/2025</v>
      </c>
    </row>
    <row r="39" spans="1:10" x14ac:dyDescent="0.2">
      <c r="A39" t="s">
        <v>54</v>
      </c>
      <c r="B39">
        <v>121.91256430887766</v>
      </c>
      <c r="C39">
        <v>8.2026000000000003</v>
      </c>
      <c r="E39" t="s">
        <v>112</v>
      </c>
      <c r="F39">
        <v>1</v>
      </c>
      <c r="G39">
        <v>24</v>
      </c>
      <c r="H39" s="1" t="str">
        <f t="shared" si="0"/>
        <v>2024</v>
      </c>
      <c r="J39" t="str">
        <f t="shared" si="1"/>
        <v>WDC 1.5 02/1/2024</v>
      </c>
    </row>
    <row r="40" spans="1:10" x14ac:dyDescent="0.2">
      <c r="A40" t="s">
        <v>16</v>
      </c>
      <c r="B40">
        <v>100.06404098623118</v>
      </c>
      <c r="C40">
        <v>9.9936000000000007</v>
      </c>
      <c r="E40" t="s">
        <v>113</v>
      </c>
      <c r="F40">
        <v>15</v>
      </c>
      <c r="G40">
        <v>27</v>
      </c>
      <c r="H40" s="1" t="str">
        <f t="shared" si="0"/>
        <v>2027</v>
      </c>
      <c r="J40" t="str">
        <f t="shared" si="1"/>
        <v>CFLT 0 01/15/2027</v>
      </c>
    </row>
    <row r="41" spans="1:10" x14ac:dyDescent="0.2">
      <c r="A41" t="s">
        <v>17</v>
      </c>
      <c r="B41">
        <v>190.62505957033105</v>
      </c>
      <c r="C41">
        <v>5.2459000000000016</v>
      </c>
      <c r="E41" t="s">
        <v>114</v>
      </c>
      <c r="F41">
        <v>1</v>
      </c>
      <c r="G41">
        <v>25</v>
      </c>
      <c r="H41" s="1" t="str">
        <f t="shared" si="0"/>
        <v>2025</v>
      </c>
      <c r="J41" t="str">
        <f t="shared" si="1"/>
        <v>PDD 0 12/1/2025</v>
      </c>
    </row>
    <row r="42" spans="1:10" x14ac:dyDescent="0.2">
      <c r="A42" t="s">
        <v>18</v>
      </c>
      <c r="B42">
        <v>57.502659498001783</v>
      </c>
      <c r="C42">
        <v>17.390499999999999</v>
      </c>
      <c r="E42" t="s">
        <v>115</v>
      </c>
      <c r="F42">
        <v>1</v>
      </c>
      <c r="G42">
        <v>26</v>
      </c>
      <c r="H42" s="1" t="str">
        <f t="shared" si="0"/>
        <v>2026</v>
      </c>
      <c r="J42" t="str">
        <f t="shared" si="1"/>
        <v>CAMT 0 12/1/2026</v>
      </c>
    </row>
    <row r="43" spans="1:10" x14ac:dyDescent="0.2">
      <c r="A43" t="s">
        <v>19</v>
      </c>
      <c r="B43">
        <v>519.99970880016315</v>
      </c>
      <c r="C43">
        <v>1.9230779999999998</v>
      </c>
      <c r="E43" t="s">
        <v>116</v>
      </c>
      <c r="F43">
        <v>15</v>
      </c>
      <c r="G43">
        <v>27</v>
      </c>
      <c r="H43" s="1" t="str">
        <f t="shared" si="0"/>
        <v>2027</v>
      </c>
      <c r="J43" t="str">
        <f t="shared" si="1"/>
        <v>CTEV 6 10/15/2027</v>
      </c>
    </row>
    <row r="44" spans="1:10" x14ac:dyDescent="0.2">
      <c r="A44" t="s">
        <v>21</v>
      </c>
      <c r="B44">
        <v>205.99868160843769</v>
      </c>
      <c r="C44">
        <v>4.8544</v>
      </c>
      <c r="E44" t="s">
        <v>117</v>
      </c>
      <c r="F44">
        <v>15</v>
      </c>
      <c r="G44">
        <v>27</v>
      </c>
      <c r="H44" s="1" t="str">
        <f t="shared" si="0"/>
        <v>2027</v>
      </c>
      <c r="J44" t="str">
        <f t="shared" si="1"/>
        <v>BYND 0 03/15/2027</v>
      </c>
    </row>
    <row r="45" spans="1:10" x14ac:dyDescent="0.2">
      <c r="A45" t="s">
        <v>22</v>
      </c>
      <c r="B45">
        <v>160.87774899853599</v>
      </c>
      <c r="C45">
        <v>6.2159000000000004</v>
      </c>
      <c r="E45" t="s">
        <v>118</v>
      </c>
      <c r="F45">
        <v>1</v>
      </c>
      <c r="G45">
        <v>25</v>
      </c>
      <c r="H45" s="1" t="str">
        <f t="shared" si="0"/>
        <v>2025</v>
      </c>
      <c r="J45" t="str">
        <f t="shared" si="1"/>
        <v>BILL 0 12/1/2025</v>
      </c>
    </row>
    <row r="46" spans="1:10" x14ac:dyDescent="0.2">
      <c r="A46" t="s">
        <v>55</v>
      </c>
      <c r="B46">
        <v>97.040271712760799</v>
      </c>
      <c r="C46">
        <v>10.305</v>
      </c>
      <c r="E46" t="s">
        <v>119</v>
      </c>
      <c r="F46">
        <v>1</v>
      </c>
      <c r="G46">
        <v>29</v>
      </c>
      <c r="H46" s="1" t="str">
        <f t="shared" si="0"/>
        <v>2029</v>
      </c>
      <c r="J46" t="str">
        <f t="shared" si="1"/>
        <v>BBIO 2.25 02/1/2029</v>
      </c>
    </row>
    <row r="47" spans="1:10" x14ac:dyDescent="0.2">
      <c r="A47" t="s">
        <v>56</v>
      </c>
      <c r="B47">
        <v>370.45269319107945</v>
      </c>
      <c r="C47">
        <v>2.6994000000000002</v>
      </c>
      <c r="E47" t="s">
        <v>120</v>
      </c>
      <c r="F47">
        <v>1</v>
      </c>
      <c r="G47">
        <v>26</v>
      </c>
      <c r="H47" s="1" t="str">
        <f t="shared" si="0"/>
        <v>2026</v>
      </c>
      <c r="J47" t="str">
        <f t="shared" si="1"/>
        <v>COIN 0.5 06/1/2026</v>
      </c>
    </row>
    <row r="48" spans="1:10" x14ac:dyDescent="0.2">
      <c r="A48" t="s">
        <v>57</v>
      </c>
      <c r="B48">
        <v>93.968182373448357</v>
      </c>
      <c r="C48">
        <v>10.6419</v>
      </c>
      <c r="E48" t="s">
        <v>121</v>
      </c>
      <c r="F48">
        <v>1</v>
      </c>
      <c r="G48">
        <v>26</v>
      </c>
      <c r="H48" s="1" t="str">
        <f t="shared" si="0"/>
        <v>2026</v>
      </c>
      <c r="J48" t="str">
        <f t="shared" si="1"/>
        <v>BILI 0.5 12/1/2026</v>
      </c>
    </row>
    <row r="49" spans="1:10" x14ac:dyDescent="0.2">
      <c r="A49" t="s">
        <v>10</v>
      </c>
      <c r="B49">
        <v>22.312513526961325</v>
      </c>
      <c r="C49">
        <v>44.817900000000002</v>
      </c>
      <c r="E49" t="s">
        <v>122</v>
      </c>
      <c r="F49">
        <v>15</v>
      </c>
      <c r="G49">
        <v>26</v>
      </c>
      <c r="H49" s="1" t="str">
        <f t="shared" si="0"/>
        <v>2026</v>
      </c>
      <c r="J49" t="str">
        <f t="shared" si="1"/>
        <v>IQ 4 12/15/2026</v>
      </c>
    </row>
    <row r="50" spans="1:10" x14ac:dyDescent="0.2">
      <c r="A50" t="s">
        <v>58</v>
      </c>
      <c r="B50">
        <v>33.687047330301496</v>
      </c>
      <c r="C50">
        <v>29.685000000000002</v>
      </c>
      <c r="E50" t="s">
        <v>123</v>
      </c>
      <c r="F50">
        <v>15</v>
      </c>
      <c r="G50">
        <v>27</v>
      </c>
      <c r="H50" s="1" t="str">
        <f t="shared" si="0"/>
        <v>2027</v>
      </c>
      <c r="J50" t="str">
        <f t="shared" si="1"/>
        <v>NCLH 1.125 02/15/2027</v>
      </c>
    </row>
    <row r="51" spans="1:10" x14ac:dyDescent="0.2">
      <c r="A51" t="s">
        <v>13</v>
      </c>
      <c r="B51">
        <v>30.302754823440996</v>
      </c>
      <c r="C51">
        <v>33.000300000000003</v>
      </c>
      <c r="E51" t="s">
        <v>124</v>
      </c>
      <c r="F51">
        <v>1</v>
      </c>
      <c r="G51">
        <v>25</v>
      </c>
      <c r="H51" s="1" t="str">
        <f t="shared" si="0"/>
        <v>2025</v>
      </c>
      <c r="J51" t="str">
        <f t="shared" si="1"/>
        <v>IQ 2 04/1/2025</v>
      </c>
    </row>
    <row r="52" spans="1:10" x14ac:dyDescent="0.2">
      <c r="A52" t="s">
        <v>15</v>
      </c>
      <c r="B52">
        <v>239.23444976076556</v>
      </c>
      <c r="C52">
        <v>4.18</v>
      </c>
      <c r="E52" t="s">
        <v>125</v>
      </c>
      <c r="F52">
        <v>15</v>
      </c>
      <c r="G52">
        <v>26</v>
      </c>
      <c r="H52" s="1" t="str">
        <f t="shared" si="0"/>
        <v>2026</v>
      </c>
      <c r="J52" t="str">
        <f t="shared" si="1"/>
        <v>PTON 0 02/15/2026</v>
      </c>
    </row>
    <row r="53" spans="1:10" x14ac:dyDescent="0.2">
      <c r="A53" t="s">
        <v>23</v>
      </c>
      <c r="B53">
        <v>23.863272991070364</v>
      </c>
      <c r="C53">
        <v>41.9054</v>
      </c>
      <c r="E53" t="s">
        <v>126</v>
      </c>
      <c r="F53">
        <v>1</v>
      </c>
      <c r="G53">
        <v>28</v>
      </c>
      <c r="H53" s="1" t="str">
        <f t="shared" si="0"/>
        <v>2028</v>
      </c>
      <c r="J53" t="str">
        <f t="shared" si="1"/>
        <v>ARRY 1 12/1/2028</v>
      </c>
    </row>
    <row r="54" spans="1:10" x14ac:dyDescent="0.2">
      <c r="A54" t="s">
        <v>59</v>
      </c>
      <c r="B54">
        <v>29.791962724296241</v>
      </c>
      <c r="C54">
        <v>33.566099999999999</v>
      </c>
      <c r="E54" t="s">
        <v>127</v>
      </c>
      <c r="F54">
        <v>1</v>
      </c>
      <c r="G54">
        <v>27</v>
      </c>
      <c r="H54" s="1" t="str">
        <f t="shared" si="0"/>
        <v>2027</v>
      </c>
      <c r="J54" t="str">
        <f t="shared" si="1"/>
        <v>ZTO 1.5 09/1/2027</v>
      </c>
    </row>
    <row r="55" spans="1:10" x14ac:dyDescent="0.2">
      <c r="A55" t="s">
        <v>60</v>
      </c>
      <c r="B55">
        <v>397.99410968717666</v>
      </c>
      <c r="C55">
        <v>2.5125999999999999</v>
      </c>
      <c r="E55" t="s">
        <v>128</v>
      </c>
      <c r="F55">
        <v>15</v>
      </c>
      <c r="G55">
        <v>25</v>
      </c>
      <c r="H55" s="1" t="str">
        <f t="shared" si="0"/>
        <v>2025</v>
      </c>
      <c r="J55" t="str">
        <f t="shared" si="1"/>
        <v>MSTR 0.75 12/15/2025</v>
      </c>
    </row>
    <row r="56" spans="1:10" x14ac:dyDescent="0.2">
      <c r="A56" t="s">
        <v>24</v>
      </c>
      <c r="B56">
        <v>76.17480594468185</v>
      </c>
      <c r="C56">
        <v>13.127700000000001</v>
      </c>
      <c r="E56" t="s">
        <v>129</v>
      </c>
      <c r="F56">
        <v>1</v>
      </c>
      <c r="G56">
        <v>26</v>
      </c>
      <c r="H56" s="1" t="str">
        <f t="shared" si="0"/>
        <v>2026</v>
      </c>
      <c r="J56" t="str">
        <f t="shared" si="1"/>
        <v>MARA 1 12/1/2026</v>
      </c>
    </row>
    <row r="57" spans="1:10" x14ac:dyDescent="0.2">
      <c r="A57" t="s">
        <v>20</v>
      </c>
      <c r="B57">
        <v>215.65202389424422</v>
      </c>
      <c r="C57">
        <v>4.6371000000000002</v>
      </c>
      <c r="E57" t="s">
        <v>130</v>
      </c>
      <c r="F57">
        <v>15</v>
      </c>
      <c r="G57">
        <v>26</v>
      </c>
      <c r="H57" s="1" t="str">
        <f t="shared" si="0"/>
        <v>2026</v>
      </c>
      <c r="J57" t="str">
        <f t="shared" si="1"/>
        <v>AFRM 0 11/15/2026</v>
      </c>
    </row>
    <row r="58" spans="1:10" x14ac:dyDescent="0.2">
      <c r="A58" t="s">
        <v>61</v>
      </c>
      <c r="B58">
        <v>19.233506306666715</v>
      </c>
      <c r="C58">
        <v>51.992600000000003</v>
      </c>
      <c r="E58" t="s">
        <v>131</v>
      </c>
      <c r="F58">
        <v>15</v>
      </c>
      <c r="G58">
        <v>26</v>
      </c>
      <c r="H58" s="1" t="str">
        <f t="shared" si="0"/>
        <v>2026</v>
      </c>
      <c r="J58" t="str">
        <f t="shared" si="1"/>
        <v>OPEN 0.25 08/15/2026</v>
      </c>
    </row>
    <row r="59" spans="1:10" x14ac:dyDescent="0.2">
      <c r="A59" t="s">
        <v>62</v>
      </c>
      <c r="B59">
        <v>72.543671290116649</v>
      </c>
      <c r="C59">
        <v>13.784800000000001</v>
      </c>
      <c r="E59" t="s">
        <v>132</v>
      </c>
      <c r="F59">
        <v>1</v>
      </c>
      <c r="G59">
        <v>28</v>
      </c>
      <c r="H59" s="1" t="str">
        <f t="shared" si="0"/>
        <v>2028</v>
      </c>
      <c r="J59" t="str">
        <f t="shared" si="1"/>
        <v>UBER 0.875 12/1/2028</v>
      </c>
    </row>
    <row r="60" spans="1:10" x14ac:dyDescent="0.2">
      <c r="A60" t="s">
        <v>63</v>
      </c>
      <c r="B60">
        <v>79.814192559720965</v>
      </c>
      <c r="C60">
        <v>12.529100000000001</v>
      </c>
      <c r="E60" t="s">
        <v>133</v>
      </c>
      <c r="F60">
        <v>15</v>
      </c>
      <c r="G60">
        <v>27</v>
      </c>
      <c r="H60" s="1" t="str">
        <f t="shared" si="0"/>
        <v>2027</v>
      </c>
      <c r="J60" t="str">
        <f t="shared" si="1"/>
        <v>LNTH 2.625 12/15/2027</v>
      </c>
    </row>
    <row r="61" spans="1:10" x14ac:dyDescent="0.2">
      <c r="A61" t="s">
        <v>64</v>
      </c>
      <c r="B61">
        <v>23.162195590844448</v>
      </c>
      <c r="C61">
        <v>43.1738</v>
      </c>
      <c r="E61" t="s">
        <v>134</v>
      </c>
      <c r="F61">
        <v>1</v>
      </c>
      <c r="G61">
        <v>27</v>
      </c>
      <c r="H61" s="1" t="str">
        <f t="shared" si="0"/>
        <v>2027</v>
      </c>
      <c r="J61" t="str">
        <f t="shared" si="1"/>
        <v>PCG 4.25 12/1/2027</v>
      </c>
    </row>
    <row r="62" spans="1:10" x14ac:dyDescent="0.2">
      <c r="A62" t="s">
        <v>65</v>
      </c>
      <c r="B62">
        <v>118.88062008131432</v>
      </c>
      <c r="C62">
        <v>8.4118000000000013</v>
      </c>
      <c r="E62" t="s">
        <v>135</v>
      </c>
      <c r="F62">
        <v>1</v>
      </c>
      <c r="G62">
        <v>29</v>
      </c>
      <c r="H62" s="1" t="str">
        <f t="shared" si="0"/>
        <v>2029</v>
      </c>
      <c r="J62" t="str">
        <f t="shared" si="1"/>
        <v>WOLF 1.875 12/1/2029</v>
      </c>
    </row>
    <row r="63" spans="1:10" x14ac:dyDescent="0.2">
      <c r="A63" t="s">
        <v>25</v>
      </c>
      <c r="B63">
        <v>86.827413150879991</v>
      </c>
      <c r="C63">
        <v>11.517100000000001</v>
      </c>
      <c r="E63" t="s">
        <v>136</v>
      </c>
      <c r="F63">
        <v>1</v>
      </c>
      <c r="G63">
        <v>29</v>
      </c>
      <c r="H63" s="1" t="str">
        <f t="shared" si="0"/>
        <v>2029</v>
      </c>
      <c r="J63" t="str">
        <f t="shared" si="1"/>
        <v>MMSI 3 02/1/2029</v>
      </c>
    </row>
    <row r="64" spans="1:10" x14ac:dyDescent="0.2">
      <c r="A64" t="s">
        <v>9</v>
      </c>
      <c r="B64">
        <v>80.840090217540677</v>
      </c>
      <c r="C64">
        <v>12.370100000000001</v>
      </c>
      <c r="E64" t="s">
        <v>137</v>
      </c>
      <c r="F64">
        <v>15</v>
      </c>
      <c r="G64">
        <v>25</v>
      </c>
      <c r="H64" s="1" t="str">
        <f t="shared" si="0"/>
        <v>2025</v>
      </c>
      <c r="J64" t="str">
        <f t="shared" si="1"/>
        <v>UBER 0 12/15/2025</v>
      </c>
    </row>
    <row r="65" spans="1:10" x14ac:dyDescent="0.2">
      <c r="A65" t="s">
        <v>66</v>
      </c>
      <c r="B65">
        <v>25.920031518758325</v>
      </c>
      <c r="C65">
        <v>38.580200000000005</v>
      </c>
      <c r="E65" t="s">
        <v>138</v>
      </c>
      <c r="F65">
        <v>1</v>
      </c>
      <c r="G65">
        <v>26</v>
      </c>
      <c r="H65" s="1" t="str">
        <f t="shared" si="0"/>
        <v>2026</v>
      </c>
      <c r="J65" t="str">
        <f t="shared" si="1"/>
        <v>JBLU 0.5 04/1/2026</v>
      </c>
    </row>
    <row r="66" spans="1:10" x14ac:dyDescent="0.2">
      <c r="A66" t="s">
        <v>67</v>
      </c>
      <c r="B66">
        <v>189.29355644733855</v>
      </c>
      <c r="C66">
        <v>5.2827999999999999</v>
      </c>
      <c r="E66" t="s">
        <v>139</v>
      </c>
      <c r="F66">
        <v>15</v>
      </c>
      <c r="G66">
        <v>27</v>
      </c>
      <c r="H66" s="1" t="str">
        <f t="shared" si="0"/>
        <v>2027</v>
      </c>
      <c r="J66" t="str">
        <f t="shared" si="1"/>
        <v>VAC 3.25 12/15/2027</v>
      </c>
    </row>
    <row r="67" spans="1:10" x14ac:dyDescent="0.2">
      <c r="A67" t="s">
        <v>68</v>
      </c>
      <c r="B67">
        <v>228.72827081427266</v>
      </c>
      <c r="C67">
        <v>4.3719999999999999</v>
      </c>
      <c r="E67" t="s">
        <v>140</v>
      </c>
      <c r="F67">
        <v>15</v>
      </c>
      <c r="G67">
        <v>27</v>
      </c>
      <c r="H67" s="1" t="str">
        <f t="shared" ref="H67:H74" si="2">CONCATENATE(20,G67)</f>
        <v>2027</v>
      </c>
      <c r="J67" t="str">
        <f t="shared" ref="J67:J74" si="3">CONCATENATE(E67, "/", F67, "/", H67)</f>
        <v>AXON 0.5 12/15/2027</v>
      </c>
    </row>
    <row r="68" spans="1:10" x14ac:dyDescent="0.2">
      <c r="A68" t="s">
        <v>69</v>
      </c>
      <c r="B68">
        <v>51.076957652094407</v>
      </c>
      <c r="C68">
        <v>19.578300000000002</v>
      </c>
      <c r="E68" t="s">
        <v>141</v>
      </c>
      <c r="F68">
        <v>1</v>
      </c>
      <c r="G68">
        <v>27</v>
      </c>
      <c r="H68" s="1" t="str">
        <f t="shared" si="2"/>
        <v>2027</v>
      </c>
      <c r="J68" t="str">
        <f t="shared" si="3"/>
        <v>CYTK 3.5 07/1/2027</v>
      </c>
    </row>
    <row r="69" spans="1:10" x14ac:dyDescent="0.2">
      <c r="A69" t="s">
        <v>70</v>
      </c>
      <c r="B69">
        <v>54.780112627911564</v>
      </c>
      <c r="C69">
        <v>18.254799999999999</v>
      </c>
      <c r="E69" t="s">
        <v>142</v>
      </c>
      <c r="F69">
        <v>15</v>
      </c>
      <c r="G69">
        <v>26</v>
      </c>
      <c r="H69" s="1" t="str">
        <f t="shared" si="2"/>
        <v>2026</v>
      </c>
      <c r="J69" t="str">
        <f t="shared" si="3"/>
        <v>LCID 1.25 12/15/2026</v>
      </c>
    </row>
    <row r="70" spans="1:10" x14ac:dyDescent="0.2">
      <c r="A70" t="s">
        <v>71</v>
      </c>
      <c r="B70">
        <v>13.392008185195401</v>
      </c>
      <c r="C70">
        <v>74.671400000000006</v>
      </c>
      <c r="E70" t="s">
        <v>143</v>
      </c>
      <c r="F70">
        <v>1</v>
      </c>
      <c r="G70">
        <v>27</v>
      </c>
      <c r="H70" s="1" t="str">
        <f t="shared" si="2"/>
        <v>2027</v>
      </c>
      <c r="J70" t="str">
        <f t="shared" si="3"/>
        <v>CCL 5.75 12/1/2027</v>
      </c>
    </row>
    <row r="71" spans="1:10" x14ac:dyDescent="0.2">
      <c r="A71" t="s">
        <v>72</v>
      </c>
      <c r="B71">
        <v>38.004750593824227</v>
      </c>
      <c r="C71">
        <v>26.3125</v>
      </c>
      <c r="E71" t="s">
        <v>144</v>
      </c>
      <c r="F71">
        <v>1</v>
      </c>
      <c r="G71">
        <v>29</v>
      </c>
      <c r="H71" s="1" t="str">
        <f t="shared" si="2"/>
        <v>2029</v>
      </c>
      <c r="J71" t="str">
        <f t="shared" si="3"/>
        <v>EVH 3.5 12/1/2029</v>
      </c>
    </row>
    <row r="72" spans="1:10" x14ac:dyDescent="0.2">
      <c r="A72" t="s">
        <v>73</v>
      </c>
      <c r="B72">
        <v>35.512498623890679</v>
      </c>
      <c r="C72">
        <v>28.159100000000002</v>
      </c>
      <c r="E72" t="s">
        <v>145</v>
      </c>
      <c r="F72">
        <v>1</v>
      </c>
      <c r="G72">
        <v>28</v>
      </c>
      <c r="H72" s="1" t="str">
        <f t="shared" si="2"/>
        <v>2028</v>
      </c>
      <c r="J72" t="str">
        <f t="shared" si="3"/>
        <v>SPHR 3.5 12/1/2028</v>
      </c>
    </row>
    <row r="73" spans="1:10" x14ac:dyDescent="0.2">
      <c r="A73" t="s">
        <v>26</v>
      </c>
      <c r="B73">
        <v>515.19835136527558</v>
      </c>
      <c r="C73">
        <v>1.9410000000000001</v>
      </c>
      <c r="E73" t="s">
        <v>146</v>
      </c>
      <c r="F73">
        <v>15</v>
      </c>
      <c r="G73">
        <v>26</v>
      </c>
      <c r="H73" s="1" t="str">
        <f t="shared" si="2"/>
        <v>2026</v>
      </c>
      <c r="J73" t="str">
        <f t="shared" si="3"/>
        <v>SPOT 0 03/15/2026</v>
      </c>
    </row>
    <row r="74" spans="1:10" x14ac:dyDescent="0.2">
      <c r="A74" t="s">
        <v>74</v>
      </c>
      <c r="B74">
        <v>461.19079463173915</v>
      </c>
      <c r="C74">
        <v>2.1682999999999999</v>
      </c>
      <c r="E74" t="s">
        <v>147</v>
      </c>
      <c r="F74">
        <v>15</v>
      </c>
      <c r="G74">
        <v>25</v>
      </c>
      <c r="H74" s="1" t="str">
        <f t="shared" si="2"/>
        <v>2025</v>
      </c>
      <c r="J74" t="str">
        <f t="shared" si="3"/>
        <v>TREE 0.5 07/15/2025</v>
      </c>
    </row>
  </sheetData>
  <conditionalFormatting sqref="A1 A75:A1048576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Fang, Vivian</cp:lastModifiedBy>
  <dcterms:created xsi:type="dcterms:W3CDTF">2025-03-13T18:31:09Z</dcterms:created>
  <dcterms:modified xsi:type="dcterms:W3CDTF">2025-03-13T21:21:10Z</dcterms:modified>
</cp:coreProperties>
</file>